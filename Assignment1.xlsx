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(DA30)\Excel\Practice\"/>
    </mc:Choice>
  </mc:AlternateContent>
  <xr:revisionPtr revIDLastSave="0" documentId="8_{5F9A39AB-AFD8-4F2B-888A-0698EC81961B}" xr6:coauthVersionLast="47" xr6:coauthVersionMax="47" xr10:uidLastSave="{00000000-0000-0000-0000-000000000000}"/>
  <bookViews>
    <workbookView xWindow="0" yWindow="72" windowWidth="12612" windowHeight="12168" xr2:uid="{9ECEA434-EED5-48F6-A894-BD81579EB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1" l="1"/>
  <c r="I73" i="1"/>
  <c r="I72" i="1"/>
  <c r="I71" i="1"/>
  <c r="I70" i="1"/>
  <c r="I68" i="1"/>
  <c r="I67" i="1"/>
  <c r="I66" i="1"/>
  <c r="I65" i="1"/>
  <c r="I64" i="1"/>
  <c r="I59" i="1"/>
  <c r="I58" i="1"/>
  <c r="I60" i="1"/>
  <c r="I61" i="1"/>
  <c r="I62" i="1"/>
  <c r="I53" i="1"/>
  <c r="I54" i="1"/>
  <c r="I55" i="1"/>
  <c r="I56" i="1"/>
  <c r="I52" i="1"/>
  <c r="I47" i="1"/>
  <c r="I48" i="1"/>
  <c r="I49" i="1"/>
  <c r="I50" i="1"/>
  <c r="I46" i="1"/>
  <c r="I41" i="1"/>
  <c r="I42" i="1"/>
  <c r="I43" i="1"/>
  <c r="I44" i="1"/>
  <c r="I40" i="1"/>
  <c r="I35" i="1"/>
  <c r="I36" i="1"/>
  <c r="I37" i="1"/>
  <c r="I38" i="1"/>
  <c r="I34" i="1"/>
  <c r="I29" i="1"/>
  <c r="I30" i="1"/>
  <c r="I31" i="1"/>
  <c r="I32" i="1"/>
  <c r="I28" i="1"/>
  <c r="I26" i="1"/>
  <c r="I25" i="1"/>
  <c r="I24" i="1"/>
  <c r="I23" i="1"/>
  <c r="I22" i="1"/>
  <c r="I20" i="1"/>
  <c r="I19" i="1"/>
  <c r="I18" i="1"/>
  <c r="I17" i="1"/>
  <c r="I16" i="1"/>
  <c r="I11" i="1"/>
  <c r="I10" i="1"/>
  <c r="I14" i="1"/>
  <c r="I13" i="1"/>
  <c r="I12" i="1"/>
  <c r="I7" i="1"/>
  <c r="I4" i="1"/>
  <c r="I8" i="1"/>
  <c r="I6" i="1"/>
  <c r="I5" i="1"/>
</calcChain>
</file>

<file path=xl/sharedStrings.xml><?xml version="1.0" encoding="utf-8"?>
<sst xmlns="http://schemas.openxmlformats.org/spreadsheetml/2006/main" count="149" uniqueCount="139">
  <si>
    <t>TEXT FUNCTION/ METHOD</t>
  </si>
  <si>
    <t>VALUE</t>
  </si>
  <si>
    <t>FORMULA</t>
  </si>
  <si>
    <t>OUTPUT</t>
  </si>
  <si>
    <t>SR.NO</t>
  </si>
  <si>
    <t>CONCAT/JOIN</t>
  </si>
  <si>
    <t>Chennai</t>
  </si>
  <si>
    <t>Super</t>
  </si>
  <si>
    <t>King</t>
  </si>
  <si>
    <t>Mumbai</t>
  </si>
  <si>
    <t>Indians</t>
  </si>
  <si>
    <t>Delhi</t>
  </si>
  <si>
    <t>Capitals</t>
  </si>
  <si>
    <t>Sunrises</t>
  </si>
  <si>
    <t>Hyderabad</t>
  </si>
  <si>
    <t>Royal</t>
  </si>
  <si>
    <t>Challengers</t>
  </si>
  <si>
    <t>Bengaluru</t>
  </si>
  <si>
    <t>CONCAT(F4," ",G4," ",H4)</t>
  </si>
  <si>
    <t>CONCAT(F5," ",G5," ",H5)</t>
  </si>
  <si>
    <t>CONCAT(F6," ",G6," ",H6)</t>
  </si>
  <si>
    <t>CONCAT(F7," ",G7," ",H7)</t>
  </si>
  <si>
    <t>CONCAT(F8," ",G8," ",H8)</t>
  </si>
  <si>
    <t>RIGHT</t>
  </si>
  <si>
    <t>International Business Machines</t>
  </si>
  <si>
    <t>Tata Consultancy Services</t>
  </si>
  <si>
    <t>Saudi Arabian Oil</t>
  </si>
  <si>
    <t>General Electric Company</t>
  </si>
  <si>
    <t>Aditya Birla Group</t>
  </si>
  <si>
    <t>RIGHT(F10,8)</t>
  </si>
  <si>
    <t>RIGHT(D11,8)</t>
  </si>
  <si>
    <t>RIGHT(D12,3)</t>
  </si>
  <si>
    <t>RIGHT(D13,7)</t>
  </si>
  <si>
    <t>RIGHT(D14,5)</t>
  </si>
  <si>
    <t>LEFT</t>
  </si>
  <si>
    <t>MID</t>
  </si>
  <si>
    <t>LEFT(D16,13)</t>
  </si>
  <si>
    <t>LEFT(D17,4)</t>
  </si>
  <si>
    <t>LEFT(D18,5)</t>
  </si>
  <si>
    <t>LEFT(D19,7)</t>
  </si>
  <si>
    <t>LEFT(D20,6)</t>
  </si>
  <si>
    <t>MID(D22,15,8)</t>
  </si>
  <si>
    <t>MID(D23,6,11)</t>
  </si>
  <si>
    <t>MID(D24,7,7)</t>
  </si>
  <si>
    <t>MID(D25,9,8)</t>
  </si>
  <si>
    <t>MID(D26,8,5)</t>
  </si>
  <si>
    <t>india</t>
  </si>
  <si>
    <t>united states</t>
  </si>
  <si>
    <t>china</t>
  </si>
  <si>
    <t>brazil</t>
  </si>
  <si>
    <t>japan</t>
  </si>
  <si>
    <t>UPPER</t>
  </si>
  <si>
    <t>UPPER(D28)</t>
  </si>
  <si>
    <t>UPPER(D29)</t>
  </si>
  <si>
    <t>UPPER(D30)</t>
  </si>
  <si>
    <t>UPPER(D31)</t>
  </si>
  <si>
    <t>UPPER(D32)</t>
  </si>
  <si>
    <t>LOWER</t>
  </si>
  <si>
    <t>SIEMENS</t>
  </si>
  <si>
    <t>SCHNEIDER ELECTRIC</t>
  </si>
  <si>
    <t>ABB</t>
  </si>
  <si>
    <t>GENERAL ELECTRIC</t>
  </si>
  <si>
    <t>HITACHI</t>
  </si>
  <si>
    <t>LOWER(D34)</t>
  </si>
  <si>
    <t>LOWER(D35)</t>
  </si>
  <si>
    <t>LOWER(D36)</t>
  </si>
  <si>
    <t>LOWER(D37)</t>
  </si>
  <si>
    <t>LOWER(D38)</t>
  </si>
  <si>
    <t>PROPER</t>
  </si>
  <si>
    <t>kaPil dEv</t>
  </si>
  <si>
    <t>yuVrAj sInGh</t>
  </si>
  <si>
    <t>hArDiK pAnDyA</t>
  </si>
  <si>
    <t>raVinDrA jAdEjA</t>
  </si>
  <si>
    <t>rAvIcHaNdRaN aShWiN</t>
  </si>
  <si>
    <t>PROPER(D40)</t>
  </si>
  <si>
    <t>PROPER(D41)</t>
  </si>
  <si>
    <t>PROPER(D42)</t>
  </si>
  <si>
    <t>PROPER(D43)</t>
  </si>
  <si>
    <t>PROPER(D44)</t>
  </si>
  <si>
    <t>LEN</t>
  </si>
  <si>
    <t>Indian Sea</t>
  </si>
  <si>
    <t>Arabian Sea</t>
  </si>
  <si>
    <t>South China Sea</t>
  </si>
  <si>
    <t>Coral Sea</t>
  </si>
  <si>
    <t>Caribbean Sea</t>
  </si>
  <si>
    <t>LEN(D46)</t>
  </si>
  <si>
    <t>LEN(D47)</t>
  </si>
  <si>
    <t>LEN(D48)</t>
  </si>
  <si>
    <t>LEN(D49)</t>
  </si>
  <si>
    <t>LEN(D50)</t>
  </si>
  <si>
    <t>CLEAN</t>
  </si>
  <si>
    <t>EMP
NAME</t>
  </si>
  <si>
    <t>EMP
ADD</t>
  </si>
  <si>
    <t>CODE 
ID</t>
  </si>
  <si>
    <t xml:space="preserve">DATE
OF JOINING
</t>
  </si>
  <si>
    <t>EMP
ID</t>
  </si>
  <si>
    <t>CLEAN(D52)</t>
  </si>
  <si>
    <t>CLEAN(D53)</t>
  </si>
  <si>
    <t>CLEAN(D54)</t>
  </si>
  <si>
    <t>CLEAN(D55)</t>
  </si>
  <si>
    <t>CLEAN(D56)</t>
  </si>
  <si>
    <t>FIND</t>
  </si>
  <si>
    <t>Great Wall of China</t>
  </si>
  <si>
    <t>Petra</t>
  </si>
  <si>
    <t>Christ- the Redeemer</t>
  </si>
  <si>
    <t>Machu Picchu#</t>
  </si>
  <si>
    <t>Chichen_Itza</t>
  </si>
  <si>
    <t>FIND("of",D58,2)</t>
  </si>
  <si>
    <t>FIND("T","PETRA")</t>
  </si>
  <si>
    <t>FIND("-",D60)</t>
  </si>
  <si>
    <t>FIND("#",D61)</t>
  </si>
  <si>
    <t>FIND("_",D62)</t>
  </si>
  <si>
    <t>EXACT</t>
  </si>
  <si>
    <t>Dragon Fruit</t>
  </si>
  <si>
    <t>MANGO</t>
  </si>
  <si>
    <t>Jack FRUIT</t>
  </si>
  <si>
    <t>graPe</t>
  </si>
  <si>
    <t>Avacado</t>
  </si>
  <si>
    <t>EXACT("Dragon Fruit",D64)</t>
  </si>
  <si>
    <t>EXACT("Mango",D65)</t>
  </si>
  <si>
    <t>EXACT("Jack FRUIT",D66)</t>
  </si>
  <si>
    <t>EXACT("Grape",D67)</t>
  </si>
  <si>
    <t>EXACT("Avacado",D68)</t>
  </si>
  <si>
    <t>REPLACE</t>
  </si>
  <si>
    <t>Mumbai — City of Dreams</t>
  </si>
  <si>
    <t>Jaipur — Pink City</t>
  </si>
  <si>
    <t>Kolkata — Cultural Capital of India</t>
  </si>
  <si>
    <t>Economical Capital of India</t>
  </si>
  <si>
    <t>Paris of India</t>
  </si>
  <si>
    <t>City of Joy</t>
  </si>
  <si>
    <t>Biryani Capital of India</t>
  </si>
  <si>
    <t>Hyderabad — City of Pearls</t>
  </si>
  <si>
    <t>Bengaluru — Silicon Valley of India</t>
  </si>
  <si>
    <t>Garden City</t>
  </si>
  <si>
    <t>REPLACE(D70,9,20,E70)</t>
  </si>
  <si>
    <t>REPLACE(D71,9,20,E71)</t>
  </si>
  <si>
    <t>REPLACE(D72,10,30,E72)</t>
  </si>
  <si>
    <t>REPLACE(D73,12,30,E73)</t>
  </si>
  <si>
    <t>REPLACE(D74,12,30,E74)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</si>
</sst>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8" xfId="0" applyBorder="1"/>
    <xf numFmtId="0" fontId="0" fillId="0" borderId="0" xfId="0" applyAlignment="1">
      <alignment vertical="center"/>
    </xf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1" fillId="3" borderId="0" xfId="0" applyFont="1" applyFill="1"/>
    <xf numFmtId="0" fontId="1" fillId="3" borderId="13" xfId="0" applyFont="1" applyFill="1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7" xfId="0" applyBorder="1"/>
    <xf numFmtId="0" fontId="0" fillId="0" borderId="9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12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C6F0-3DCE-48C0-A9EF-3C99CEF2E534}">
  <dimension ref="C2:I75"/>
  <sheetViews>
    <sheetView tabSelected="1" workbookViewId="0">
      <selection sqref="A1:XFD1048576"/>
    </sheetView>
  </sheetViews>
  <sheetFormatPr defaultRowHeight="14.4" x14ac:dyDescent="0.3"/>
  <cols>
    <col min="3" max="3" width="6.77734375" style="1" bestFit="1" customWidth="1"/>
    <col min="4" max="4" width="26.44140625" style="1" bestFit="1" customWidth="1"/>
    <col min="5" max="5" width="29.5546875" bestFit="1" customWidth="1"/>
    <col min="6" max="6" width="23.5546875" bestFit="1" customWidth="1"/>
    <col min="7" max="7" width="9.109375" bestFit="1" customWidth="1"/>
    <col min="8" max="8" width="22.88671875" bestFit="1" customWidth="1"/>
    <col min="9" max="9" width="32.6640625" bestFit="1" customWidth="1"/>
  </cols>
  <sheetData>
    <row r="2" spans="3:9" ht="15" thickBot="1" x14ac:dyDescent="0.35"/>
    <row r="3" spans="3:9" ht="16.2" thickBot="1" x14ac:dyDescent="0.35">
      <c r="C3" s="2" t="s">
        <v>4</v>
      </c>
      <c r="D3" s="3" t="s">
        <v>0</v>
      </c>
      <c r="E3" s="26" t="s">
        <v>1</v>
      </c>
      <c r="F3" s="27"/>
      <c r="G3" s="28"/>
      <c r="H3" s="4" t="s">
        <v>2</v>
      </c>
      <c r="I3" s="4" t="s">
        <v>3</v>
      </c>
    </row>
    <row r="4" spans="3:9" x14ac:dyDescent="0.3">
      <c r="C4" s="23">
        <v>1</v>
      </c>
      <c r="D4" s="11" t="s">
        <v>5</v>
      </c>
      <c r="E4" s="14" t="s">
        <v>6</v>
      </c>
      <c r="F4" s="12" t="s">
        <v>7</v>
      </c>
      <c r="G4" s="13" t="s">
        <v>8</v>
      </c>
      <c r="H4" s="13" t="s">
        <v>18</v>
      </c>
      <c r="I4" s="13" t="str">
        <f>_xlfn.CONCAT(E4," ",F4," ",G4)</f>
        <v>Chennai Super King</v>
      </c>
    </row>
    <row r="5" spans="3:9" x14ac:dyDescent="0.3">
      <c r="C5" s="24"/>
      <c r="E5" s="15" t="s">
        <v>9</v>
      </c>
      <c r="F5" t="s">
        <v>10</v>
      </c>
      <c r="G5" s="5"/>
      <c r="H5" s="5" t="s">
        <v>19</v>
      </c>
      <c r="I5" s="5" t="str">
        <f t="shared" ref="I5:I8" si="0">_xlfn.CONCAT(E5," ",F5," ",G5)</f>
        <v xml:space="preserve">Mumbai Indians </v>
      </c>
    </row>
    <row r="6" spans="3:9" x14ac:dyDescent="0.3">
      <c r="C6" s="24"/>
      <c r="E6" s="15" t="s">
        <v>11</v>
      </c>
      <c r="F6" t="s">
        <v>12</v>
      </c>
      <c r="G6" s="5"/>
      <c r="H6" s="5" t="s">
        <v>20</v>
      </c>
      <c r="I6" s="5" t="str">
        <f t="shared" si="0"/>
        <v xml:space="preserve">Delhi Capitals </v>
      </c>
    </row>
    <row r="7" spans="3:9" x14ac:dyDescent="0.3">
      <c r="C7" s="24"/>
      <c r="E7" s="15" t="s">
        <v>13</v>
      </c>
      <c r="F7" t="s">
        <v>14</v>
      </c>
      <c r="G7" s="5"/>
      <c r="H7" s="5" t="s">
        <v>21</v>
      </c>
      <c r="I7" s="5" t="str">
        <f>_xlfn.CONCAT(E7," ",F7," ",G7)</f>
        <v xml:space="preserve">Sunrises Hyderabad </v>
      </c>
    </row>
    <row r="8" spans="3:9" x14ac:dyDescent="0.3">
      <c r="C8" s="24"/>
      <c r="E8" s="15" t="s">
        <v>15</v>
      </c>
      <c r="F8" t="s">
        <v>16</v>
      </c>
      <c r="G8" s="5" t="s">
        <v>17</v>
      </c>
      <c r="H8" s="5" t="s">
        <v>22</v>
      </c>
      <c r="I8" s="5" t="str">
        <f t="shared" si="0"/>
        <v>Royal Challengers Bengaluru</v>
      </c>
    </row>
    <row r="9" spans="3:9" ht="15" thickBot="1" x14ac:dyDescent="0.35">
      <c r="C9" s="25"/>
      <c r="D9" s="7"/>
      <c r="E9" s="16"/>
      <c r="F9" s="8"/>
      <c r="G9" s="9"/>
      <c r="H9" s="9"/>
      <c r="I9" s="9"/>
    </row>
    <row r="10" spans="3:9" x14ac:dyDescent="0.3">
      <c r="C10" s="23">
        <v>2</v>
      </c>
      <c r="D10" s="11" t="s">
        <v>23</v>
      </c>
      <c r="E10" s="14" t="s">
        <v>24</v>
      </c>
      <c r="F10" s="12"/>
      <c r="G10" s="13"/>
      <c r="H10" s="13" t="s">
        <v>29</v>
      </c>
      <c r="I10" s="13" t="str">
        <f>RIGHT(E10,8)</f>
        <v>Machines</v>
      </c>
    </row>
    <row r="11" spans="3:9" x14ac:dyDescent="0.3">
      <c r="C11" s="24"/>
      <c r="E11" s="15" t="s">
        <v>25</v>
      </c>
      <c r="G11" s="5"/>
      <c r="H11" s="5" t="s">
        <v>30</v>
      </c>
      <c r="I11" s="5" t="str">
        <f>RIGHT(E11,8)</f>
        <v>Services</v>
      </c>
    </row>
    <row r="12" spans="3:9" x14ac:dyDescent="0.3">
      <c r="C12" s="24"/>
      <c r="E12" s="15" t="s">
        <v>26</v>
      </c>
      <c r="G12" s="5"/>
      <c r="H12" s="5" t="s">
        <v>31</v>
      </c>
      <c r="I12" s="5" t="str">
        <f>RIGHT(E12,3)</f>
        <v>Oil</v>
      </c>
    </row>
    <row r="13" spans="3:9" x14ac:dyDescent="0.3">
      <c r="C13" s="24"/>
      <c r="E13" s="15" t="s">
        <v>27</v>
      </c>
      <c r="G13" s="5"/>
      <c r="H13" s="5" t="s">
        <v>32</v>
      </c>
      <c r="I13" s="5" t="str">
        <f>RIGHT(E13,7)</f>
        <v>Company</v>
      </c>
    </row>
    <row r="14" spans="3:9" x14ac:dyDescent="0.3">
      <c r="C14" s="24"/>
      <c r="E14" s="17" t="s">
        <v>28</v>
      </c>
      <c r="F14" s="6"/>
      <c r="G14" s="18"/>
      <c r="H14" s="5" t="s">
        <v>33</v>
      </c>
      <c r="I14" s="5" t="str">
        <f>RIGHT(E14,5)</f>
        <v>Group</v>
      </c>
    </row>
    <row r="15" spans="3:9" ht="15" thickBot="1" x14ac:dyDescent="0.35">
      <c r="C15" s="25"/>
      <c r="D15" s="7"/>
      <c r="E15" s="19"/>
      <c r="F15" s="8"/>
      <c r="G15" s="9"/>
      <c r="H15" s="9"/>
      <c r="I15" s="9"/>
    </row>
    <row r="16" spans="3:9" x14ac:dyDescent="0.3">
      <c r="C16" s="23">
        <v>3</v>
      </c>
      <c r="D16" s="11" t="s">
        <v>34</v>
      </c>
      <c r="E16" s="14" t="s">
        <v>24</v>
      </c>
      <c r="F16" s="12"/>
      <c r="G16" s="13"/>
      <c r="H16" s="13" t="s">
        <v>36</v>
      </c>
      <c r="I16" s="13" t="str">
        <f>LEFT(E16,13)</f>
        <v>International</v>
      </c>
    </row>
    <row r="17" spans="3:9" x14ac:dyDescent="0.3">
      <c r="C17" s="24"/>
      <c r="E17" s="15" t="s">
        <v>25</v>
      </c>
      <c r="G17" s="5"/>
      <c r="H17" s="5" t="s">
        <v>37</v>
      </c>
      <c r="I17" s="5" t="str">
        <f>LEFT(E17,4)</f>
        <v>Tata</v>
      </c>
    </row>
    <row r="18" spans="3:9" x14ac:dyDescent="0.3">
      <c r="C18" s="24"/>
      <c r="E18" s="15" t="s">
        <v>26</v>
      </c>
      <c r="G18" s="5"/>
      <c r="H18" s="5" t="s">
        <v>38</v>
      </c>
      <c r="I18" s="5" t="str">
        <f>LEFT(E18,5)</f>
        <v>Saudi</v>
      </c>
    </row>
    <row r="19" spans="3:9" x14ac:dyDescent="0.3">
      <c r="C19" s="24"/>
      <c r="E19" s="15" t="s">
        <v>27</v>
      </c>
      <c r="G19" s="5"/>
      <c r="H19" s="5" t="s">
        <v>39</v>
      </c>
      <c r="I19" s="5" t="str">
        <f>LEFT(E19,7)</f>
        <v>General</v>
      </c>
    </row>
    <row r="20" spans="3:9" x14ac:dyDescent="0.3">
      <c r="C20" s="24"/>
      <c r="E20" s="17" t="s">
        <v>28</v>
      </c>
      <c r="F20" s="6"/>
      <c r="G20" s="18"/>
      <c r="H20" s="5" t="s">
        <v>40</v>
      </c>
      <c r="I20" s="5" t="str">
        <f>LEFT(E20,6)</f>
        <v>Aditya</v>
      </c>
    </row>
    <row r="21" spans="3:9" ht="15" thickBot="1" x14ac:dyDescent="0.35">
      <c r="C21" s="25"/>
      <c r="D21" s="7"/>
      <c r="E21" s="16"/>
      <c r="F21" s="8"/>
      <c r="G21" s="9"/>
      <c r="H21" s="9"/>
      <c r="I21" s="9"/>
    </row>
    <row r="22" spans="3:9" x14ac:dyDescent="0.3">
      <c r="C22" s="24">
        <v>4</v>
      </c>
      <c r="D22" s="10" t="s">
        <v>35</v>
      </c>
      <c r="E22" s="15" t="s">
        <v>24</v>
      </c>
      <c r="G22" s="5"/>
      <c r="H22" s="5" t="s">
        <v>41</v>
      </c>
      <c r="I22" s="5" t="str">
        <f>MID(E22,15,8)</f>
        <v>Business</v>
      </c>
    </row>
    <row r="23" spans="3:9" x14ac:dyDescent="0.3">
      <c r="C23" s="24"/>
      <c r="E23" s="15" t="s">
        <v>25</v>
      </c>
      <c r="G23" s="5"/>
      <c r="H23" s="5" t="s">
        <v>42</v>
      </c>
      <c r="I23" s="5" t="str">
        <f>MID(E23,6,11)</f>
        <v>Consultancy</v>
      </c>
    </row>
    <row r="24" spans="3:9" x14ac:dyDescent="0.3">
      <c r="C24" s="24"/>
      <c r="E24" s="15" t="s">
        <v>26</v>
      </c>
      <c r="G24" s="5"/>
      <c r="H24" s="5" t="s">
        <v>43</v>
      </c>
      <c r="I24" s="5" t="str">
        <f>MID(E24,7,7)</f>
        <v>Arabian</v>
      </c>
    </row>
    <row r="25" spans="3:9" x14ac:dyDescent="0.3">
      <c r="C25" s="24"/>
      <c r="E25" s="15" t="s">
        <v>27</v>
      </c>
      <c r="G25" s="5"/>
      <c r="H25" s="5" t="s">
        <v>44</v>
      </c>
      <c r="I25" s="5" t="str">
        <f>MID(E25,9,8)</f>
        <v>Electric</v>
      </c>
    </row>
    <row r="26" spans="3:9" x14ac:dyDescent="0.3">
      <c r="C26" s="24"/>
      <c r="E26" s="17" t="s">
        <v>28</v>
      </c>
      <c r="F26" s="6"/>
      <c r="G26" s="18"/>
      <c r="H26" s="5" t="s">
        <v>45</v>
      </c>
      <c r="I26" s="5" t="str">
        <f>MID(E26,8,5)</f>
        <v>Birla</v>
      </c>
    </row>
    <row r="27" spans="3:9" ht="15" thickBot="1" x14ac:dyDescent="0.35">
      <c r="C27" s="24"/>
      <c r="E27" s="15"/>
      <c r="G27" s="5"/>
      <c r="H27" s="5"/>
      <c r="I27" s="5"/>
    </row>
    <row r="28" spans="3:9" x14ac:dyDescent="0.3">
      <c r="C28" s="23">
        <v>5</v>
      </c>
      <c r="D28" s="11" t="s">
        <v>51</v>
      </c>
      <c r="E28" s="14" t="s">
        <v>46</v>
      </c>
      <c r="F28" s="12"/>
      <c r="G28" s="13"/>
      <c r="H28" s="13" t="s">
        <v>52</v>
      </c>
      <c r="I28" s="13" t="str">
        <f>UPPER(E28)</f>
        <v>INDIA</v>
      </c>
    </row>
    <row r="29" spans="3:9" x14ac:dyDescent="0.3">
      <c r="C29" s="24"/>
      <c r="E29" s="15" t="s">
        <v>47</v>
      </c>
      <c r="G29" s="5"/>
      <c r="H29" s="5" t="s">
        <v>53</v>
      </c>
      <c r="I29" s="5" t="str">
        <f t="shared" ref="I29:I32" si="1">UPPER(E29)</f>
        <v>UNITED STATES</v>
      </c>
    </row>
    <row r="30" spans="3:9" x14ac:dyDescent="0.3">
      <c r="C30" s="24"/>
      <c r="E30" s="15" t="s">
        <v>48</v>
      </c>
      <c r="G30" s="5"/>
      <c r="H30" s="5" t="s">
        <v>54</v>
      </c>
      <c r="I30" s="5" t="str">
        <f t="shared" si="1"/>
        <v>CHINA</v>
      </c>
    </row>
    <row r="31" spans="3:9" x14ac:dyDescent="0.3">
      <c r="C31" s="24"/>
      <c r="E31" s="15" t="s">
        <v>49</v>
      </c>
      <c r="G31" s="5"/>
      <c r="H31" s="5" t="s">
        <v>55</v>
      </c>
      <c r="I31" s="5" t="str">
        <f t="shared" si="1"/>
        <v>BRAZIL</v>
      </c>
    </row>
    <row r="32" spans="3:9" x14ac:dyDescent="0.3">
      <c r="C32" s="24"/>
      <c r="E32" s="15" t="s">
        <v>50</v>
      </c>
      <c r="G32" s="5"/>
      <c r="H32" s="5" t="s">
        <v>56</v>
      </c>
      <c r="I32" s="5" t="str">
        <f t="shared" si="1"/>
        <v>JAPAN</v>
      </c>
    </row>
    <row r="33" spans="3:9" ht="15" thickBot="1" x14ac:dyDescent="0.35">
      <c r="C33" s="25"/>
      <c r="D33" s="7"/>
      <c r="E33" s="16"/>
      <c r="F33" s="8"/>
      <c r="G33" s="9"/>
      <c r="H33" s="9"/>
      <c r="I33" s="9"/>
    </row>
    <row r="34" spans="3:9" x14ac:dyDescent="0.3">
      <c r="C34" s="24">
        <v>6</v>
      </c>
      <c r="D34" s="10" t="s">
        <v>57</v>
      </c>
      <c r="E34" s="15" t="s">
        <v>58</v>
      </c>
      <c r="G34" s="5"/>
      <c r="H34" s="5" t="s">
        <v>63</v>
      </c>
      <c r="I34" s="5" t="str">
        <f>LOWER(E34)</f>
        <v>siemens</v>
      </c>
    </row>
    <row r="35" spans="3:9" x14ac:dyDescent="0.3">
      <c r="C35" s="24"/>
      <c r="E35" s="15" t="s">
        <v>59</v>
      </c>
      <c r="G35" s="5"/>
      <c r="H35" s="5" t="s">
        <v>64</v>
      </c>
      <c r="I35" s="5" t="str">
        <f t="shared" ref="I35:I38" si="2">LOWER(E35)</f>
        <v>schneider electric</v>
      </c>
    </row>
    <row r="36" spans="3:9" x14ac:dyDescent="0.3">
      <c r="C36" s="24"/>
      <c r="E36" s="15" t="s">
        <v>60</v>
      </c>
      <c r="G36" s="5"/>
      <c r="H36" s="5" t="s">
        <v>65</v>
      </c>
      <c r="I36" s="5" t="str">
        <f t="shared" si="2"/>
        <v>abb</v>
      </c>
    </row>
    <row r="37" spans="3:9" x14ac:dyDescent="0.3">
      <c r="C37" s="24"/>
      <c r="E37" s="15" t="s">
        <v>61</v>
      </c>
      <c r="G37" s="5"/>
      <c r="H37" s="5" t="s">
        <v>66</v>
      </c>
      <c r="I37" s="5" t="str">
        <f t="shared" si="2"/>
        <v>general electric</v>
      </c>
    </row>
    <row r="38" spans="3:9" x14ac:dyDescent="0.3">
      <c r="C38" s="24"/>
      <c r="E38" s="15" t="s">
        <v>62</v>
      </c>
      <c r="G38" s="5"/>
      <c r="H38" s="5" t="s">
        <v>67</v>
      </c>
      <c r="I38" s="5" t="str">
        <f t="shared" si="2"/>
        <v>hitachi</v>
      </c>
    </row>
    <row r="39" spans="3:9" ht="15" thickBot="1" x14ac:dyDescent="0.35">
      <c r="C39" s="24"/>
      <c r="E39" s="20"/>
      <c r="G39" s="5"/>
      <c r="H39" s="5"/>
      <c r="I39" s="5"/>
    </row>
    <row r="40" spans="3:9" x14ac:dyDescent="0.3">
      <c r="C40" s="23">
        <v>7</v>
      </c>
      <c r="D40" s="11" t="s">
        <v>68</v>
      </c>
      <c r="E40" s="14" t="s">
        <v>69</v>
      </c>
      <c r="F40" s="12"/>
      <c r="G40" s="13"/>
      <c r="H40" s="13" t="s">
        <v>74</v>
      </c>
      <c r="I40" s="13" t="str">
        <f>PROPER(E40)</f>
        <v>Kapil Dev</v>
      </c>
    </row>
    <row r="41" spans="3:9" x14ac:dyDescent="0.3">
      <c r="C41" s="24"/>
      <c r="E41" s="15" t="s">
        <v>70</v>
      </c>
      <c r="G41" s="5"/>
      <c r="H41" s="5" t="s">
        <v>75</v>
      </c>
      <c r="I41" s="5" t="str">
        <f t="shared" ref="I41:I44" si="3">PROPER(E41)</f>
        <v>Yuvraj Singh</v>
      </c>
    </row>
    <row r="42" spans="3:9" x14ac:dyDescent="0.3">
      <c r="C42" s="24"/>
      <c r="E42" s="15" t="s">
        <v>71</v>
      </c>
      <c r="G42" s="5"/>
      <c r="H42" s="5" t="s">
        <v>76</v>
      </c>
      <c r="I42" s="5" t="str">
        <f t="shared" si="3"/>
        <v>Hardik Pandya</v>
      </c>
    </row>
    <row r="43" spans="3:9" x14ac:dyDescent="0.3">
      <c r="C43" s="24"/>
      <c r="E43" s="15" t="s">
        <v>72</v>
      </c>
      <c r="G43" s="5"/>
      <c r="H43" s="5" t="s">
        <v>77</v>
      </c>
      <c r="I43" s="5" t="str">
        <f t="shared" si="3"/>
        <v>Ravindra Jadeja</v>
      </c>
    </row>
    <row r="44" spans="3:9" x14ac:dyDescent="0.3">
      <c r="C44" s="24"/>
      <c r="E44" s="15" t="s">
        <v>73</v>
      </c>
      <c r="G44" s="5"/>
      <c r="H44" s="5" t="s">
        <v>78</v>
      </c>
      <c r="I44" s="5" t="str">
        <f t="shared" si="3"/>
        <v>Ravichandran Ashwin</v>
      </c>
    </row>
    <row r="45" spans="3:9" ht="15" thickBot="1" x14ac:dyDescent="0.35">
      <c r="C45" s="25"/>
      <c r="D45" s="7"/>
      <c r="E45" s="16"/>
      <c r="F45" s="8"/>
      <c r="G45" s="9"/>
      <c r="H45" s="9"/>
      <c r="I45" s="9"/>
    </row>
    <row r="46" spans="3:9" x14ac:dyDescent="0.3">
      <c r="C46" s="24">
        <v>8</v>
      </c>
      <c r="D46" s="10" t="s">
        <v>79</v>
      </c>
      <c r="E46" s="15" t="s">
        <v>80</v>
      </c>
      <c r="G46" s="5"/>
      <c r="H46" s="5" t="s">
        <v>85</v>
      </c>
      <c r="I46" s="5">
        <f>LEN(E46)</f>
        <v>10</v>
      </c>
    </row>
    <row r="47" spans="3:9" x14ac:dyDescent="0.3">
      <c r="C47" s="24"/>
      <c r="E47" s="15" t="s">
        <v>81</v>
      </c>
      <c r="G47" s="5"/>
      <c r="H47" s="5" t="s">
        <v>86</v>
      </c>
      <c r="I47" s="5">
        <f t="shared" ref="I47:I50" si="4">LEN(E47)</f>
        <v>11</v>
      </c>
    </row>
    <row r="48" spans="3:9" x14ac:dyDescent="0.3">
      <c r="C48" s="24"/>
      <c r="E48" s="15" t="s">
        <v>82</v>
      </c>
      <c r="G48" s="5"/>
      <c r="H48" s="5" t="s">
        <v>87</v>
      </c>
      <c r="I48" s="5">
        <f t="shared" si="4"/>
        <v>15</v>
      </c>
    </row>
    <row r="49" spans="3:9" x14ac:dyDescent="0.3">
      <c r="C49" s="24"/>
      <c r="E49" s="15" t="s">
        <v>83</v>
      </c>
      <c r="G49" s="5"/>
      <c r="H49" s="5" t="s">
        <v>88</v>
      </c>
      <c r="I49" s="5">
        <f t="shared" si="4"/>
        <v>9</v>
      </c>
    </row>
    <row r="50" spans="3:9" x14ac:dyDescent="0.3">
      <c r="C50" s="24"/>
      <c r="E50" s="15" t="s">
        <v>84</v>
      </c>
      <c r="G50" s="5"/>
      <c r="H50" s="5" t="s">
        <v>89</v>
      </c>
      <c r="I50" s="5">
        <f t="shared" si="4"/>
        <v>13</v>
      </c>
    </row>
    <row r="51" spans="3:9" ht="15" thickBot="1" x14ac:dyDescent="0.35">
      <c r="C51" s="24"/>
      <c r="E51" s="15"/>
      <c r="G51" s="5"/>
      <c r="H51" s="5"/>
      <c r="I51" s="5"/>
    </row>
    <row r="52" spans="3:9" ht="28.8" x14ac:dyDescent="0.3">
      <c r="C52" s="23">
        <v>9</v>
      </c>
      <c r="D52" s="11" t="s">
        <v>90</v>
      </c>
      <c r="E52" s="21" t="s">
        <v>91</v>
      </c>
      <c r="F52" s="12"/>
      <c r="G52" s="13"/>
      <c r="H52" s="13" t="s">
        <v>96</v>
      </c>
      <c r="I52" s="13" t="str">
        <f>CLEAN(E52)</f>
        <v>EMPNAME</v>
      </c>
    </row>
    <row r="53" spans="3:9" ht="28.8" x14ac:dyDescent="0.3">
      <c r="C53" s="24"/>
      <c r="E53" s="22" t="s">
        <v>92</v>
      </c>
      <c r="G53" s="5"/>
      <c r="H53" s="5" t="s">
        <v>97</v>
      </c>
      <c r="I53" s="5" t="str">
        <f>CLEAN(E53)</f>
        <v>EMPADD</v>
      </c>
    </row>
    <row r="54" spans="3:9" ht="28.8" x14ac:dyDescent="0.3">
      <c r="C54" s="24"/>
      <c r="E54" s="22" t="s">
        <v>93</v>
      </c>
      <c r="G54" s="5"/>
      <c r="H54" s="5" t="s">
        <v>98</v>
      </c>
      <c r="I54" s="5" t="str">
        <f>CLEAN(E54)</f>
        <v>CODE ID</v>
      </c>
    </row>
    <row r="55" spans="3:9" ht="57.6" x14ac:dyDescent="0.3">
      <c r="C55" s="24"/>
      <c r="E55" s="22" t="s">
        <v>94</v>
      </c>
      <c r="G55" s="5"/>
      <c r="H55" s="5" t="s">
        <v>99</v>
      </c>
      <c r="I55" s="5" t="str">
        <f>CLEAN(E55)</f>
        <v>DATEOF JOINING</v>
      </c>
    </row>
    <row r="56" spans="3:9" ht="28.8" x14ac:dyDescent="0.3">
      <c r="C56" s="24"/>
      <c r="E56" s="22" t="s">
        <v>95</v>
      </c>
      <c r="G56" s="5"/>
      <c r="H56" s="5" t="s">
        <v>100</v>
      </c>
      <c r="I56" s="5" t="str">
        <f>CLEAN(E56)</f>
        <v>EMPID</v>
      </c>
    </row>
    <row r="57" spans="3:9" ht="15" thickBot="1" x14ac:dyDescent="0.35">
      <c r="C57" s="25"/>
      <c r="D57" s="7"/>
      <c r="E57" s="16"/>
      <c r="F57" s="8"/>
      <c r="G57" s="9"/>
      <c r="H57" s="9"/>
      <c r="I57" s="9"/>
    </row>
    <row r="58" spans="3:9" x14ac:dyDescent="0.3">
      <c r="C58" s="24">
        <v>10</v>
      </c>
      <c r="D58" s="10" t="s">
        <v>101</v>
      </c>
      <c r="E58" s="15" t="s">
        <v>102</v>
      </c>
      <c r="G58" s="5"/>
      <c r="H58" s="5" t="s">
        <v>107</v>
      </c>
      <c r="I58" s="5">
        <f>FIND("of",E58,2)</f>
        <v>12</v>
      </c>
    </row>
    <row r="59" spans="3:9" x14ac:dyDescent="0.3">
      <c r="C59" s="24"/>
      <c r="E59" s="15" t="s">
        <v>103</v>
      </c>
      <c r="G59" s="5"/>
      <c r="H59" s="5" t="s">
        <v>108</v>
      </c>
      <c r="I59" s="5">
        <f>FIND("T","PETRA")</f>
        <v>3</v>
      </c>
    </row>
    <row r="60" spans="3:9" x14ac:dyDescent="0.3">
      <c r="C60" s="24"/>
      <c r="E60" s="15" t="s">
        <v>104</v>
      </c>
      <c r="G60" s="5"/>
      <c r="H60" s="5" t="s">
        <v>109</v>
      </c>
      <c r="I60" s="5">
        <f>FIND("-",E60)</f>
        <v>7</v>
      </c>
    </row>
    <row r="61" spans="3:9" x14ac:dyDescent="0.3">
      <c r="C61" s="24"/>
      <c r="E61" s="15" t="s">
        <v>105</v>
      </c>
      <c r="G61" s="5"/>
      <c r="H61" s="5" t="s">
        <v>110</v>
      </c>
      <c r="I61" s="5">
        <f>FIND("#",E61)</f>
        <v>13</v>
      </c>
    </row>
    <row r="62" spans="3:9" x14ac:dyDescent="0.3">
      <c r="C62" s="24"/>
      <c r="E62" s="15" t="s">
        <v>106</v>
      </c>
      <c r="G62" s="5"/>
      <c r="H62" s="5" t="s">
        <v>111</v>
      </c>
      <c r="I62" s="5">
        <f>FIND("_",E62)</f>
        <v>8</v>
      </c>
    </row>
    <row r="63" spans="3:9" ht="15" thickBot="1" x14ac:dyDescent="0.35">
      <c r="C63" s="24"/>
      <c r="E63" s="15"/>
      <c r="G63" s="5"/>
      <c r="H63" s="5"/>
      <c r="I63" s="5"/>
    </row>
    <row r="64" spans="3:9" x14ac:dyDescent="0.3">
      <c r="C64" s="23">
        <v>11</v>
      </c>
      <c r="D64" s="11" t="s">
        <v>112</v>
      </c>
      <c r="E64" s="14" t="s">
        <v>113</v>
      </c>
      <c r="F64" s="12"/>
      <c r="G64" s="13"/>
      <c r="H64" s="13" t="s">
        <v>118</v>
      </c>
      <c r="I64" s="13" t="b">
        <f>EXACT("Dragon Fruit",E64)</f>
        <v>1</v>
      </c>
    </row>
    <row r="65" spans="3:9" x14ac:dyDescent="0.3">
      <c r="C65" s="24"/>
      <c r="E65" s="15" t="s">
        <v>114</v>
      </c>
      <c r="G65" s="5"/>
      <c r="H65" s="5" t="s">
        <v>119</v>
      </c>
      <c r="I65" s="5" t="b">
        <f>EXACT("Mango",E65)</f>
        <v>0</v>
      </c>
    </row>
    <row r="66" spans="3:9" x14ac:dyDescent="0.3">
      <c r="C66" s="24"/>
      <c r="E66" s="15" t="s">
        <v>115</v>
      </c>
      <c r="G66" s="5"/>
      <c r="H66" s="5" t="s">
        <v>120</v>
      </c>
      <c r="I66" s="5" t="b">
        <f>EXACT("Jack FRUIT",E66)</f>
        <v>1</v>
      </c>
    </row>
    <row r="67" spans="3:9" x14ac:dyDescent="0.3">
      <c r="C67" s="24"/>
      <c r="E67" s="15" t="s">
        <v>116</v>
      </c>
      <c r="G67" s="5"/>
      <c r="H67" s="5" t="s">
        <v>121</v>
      </c>
      <c r="I67" s="5" t="b">
        <f>EXACT("Grape",E67)</f>
        <v>0</v>
      </c>
    </row>
    <row r="68" spans="3:9" x14ac:dyDescent="0.3">
      <c r="C68" s="24"/>
      <c r="E68" s="15" t="s">
        <v>117</v>
      </c>
      <c r="G68" s="5"/>
      <c r="H68" s="5" t="s">
        <v>122</v>
      </c>
      <c r="I68" s="5" t="b">
        <f>EXACT("Avacado",E68)</f>
        <v>1</v>
      </c>
    </row>
    <row r="69" spans="3:9" ht="15" thickBot="1" x14ac:dyDescent="0.35">
      <c r="C69" s="25"/>
      <c r="D69" s="7"/>
      <c r="E69" s="16"/>
      <c r="F69" s="8"/>
      <c r="G69" s="9"/>
      <c r="H69" s="9"/>
      <c r="I69" s="9"/>
    </row>
    <row r="70" spans="3:9" x14ac:dyDescent="0.3">
      <c r="C70" s="24">
        <v>12</v>
      </c>
      <c r="D70" s="10" t="s">
        <v>123</v>
      </c>
      <c r="E70" s="15" t="s">
        <v>124</v>
      </c>
      <c r="F70" t="s">
        <v>127</v>
      </c>
      <c r="G70" s="5"/>
      <c r="H70" s="5" t="s">
        <v>134</v>
      </c>
      <c r="I70" s="5" t="str">
        <f>REPLACE(E70,9,20,F70)</f>
        <v>Mumbai —Economical Capital of India</v>
      </c>
    </row>
    <row r="71" spans="3:9" x14ac:dyDescent="0.3">
      <c r="C71" s="24"/>
      <c r="E71" s="15" t="s">
        <v>125</v>
      </c>
      <c r="F71" t="s">
        <v>128</v>
      </c>
      <c r="G71" s="5"/>
      <c r="H71" s="5" t="s">
        <v>135</v>
      </c>
      <c r="I71" s="5" t="str">
        <f>REPLACE(E71,9,20,F71)</f>
        <v>Jaipur —Paris of India</v>
      </c>
    </row>
    <row r="72" spans="3:9" x14ac:dyDescent="0.3">
      <c r="C72" s="24"/>
      <c r="E72" s="15" t="s">
        <v>126</v>
      </c>
      <c r="F72" t="s">
        <v>129</v>
      </c>
      <c r="G72" s="5"/>
      <c r="H72" s="5" t="s">
        <v>136</v>
      </c>
      <c r="I72" s="5" t="str">
        <f>REPLACE(E72,10,30,F72)</f>
        <v>Kolkata —City of Joy</v>
      </c>
    </row>
    <row r="73" spans="3:9" x14ac:dyDescent="0.3">
      <c r="C73" s="24"/>
      <c r="E73" s="15" t="s">
        <v>132</v>
      </c>
      <c r="F73" t="s">
        <v>133</v>
      </c>
      <c r="G73" s="5"/>
      <c r="H73" s="5" t="s">
        <v>137</v>
      </c>
      <c r="I73" s="5" t="str">
        <f>REPLACE(E73,12,30,F73)</f>
        <v>Bengaluru —Garden City</v>
      </c>
    </row>
    <row r="74" spans="3:9" x14ac:dyDescent="0.3">
      <c r="C74" s="24"/>
      <c r="E74" s="15" t="s">
        <v>131</v>
      </c>
      <c r="F74" t="s">
        <v>130</v>
      </c>
      <c r="G74" s="5"/>
      <c r="H74" s="5" t="s">
        <v>138</v>
      </c>
      <c r="I74" s="5" t="str">
        <f>REPLACE(E74,12,30,F74)</f>
        <v>Hyderabad —Biryani Capital of India</v>
      </c>
    </row>
    <row r="75" spans="3:9" ht="15" thickBot="1" x14ac:dyDescent="0.35">
      <c r="C75" s="25"/>
      <c r="D75" s="7"/>
      <c r="E75" s="16"/>
      <c r="F75" s="8"/>
      <c r="G75" s="9"/>
      <c r="H75" s="9"/>
      <c r="I75" s="9"/>
    </row>
  </sheetData>
  <mergeCells count="1">
    <mergeCell ref="E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Nikkhil G</dc:creator>
  <cp:lastModifiedBy>Nikkhil G</cp:lastModifiedBy>
  <dcterms:created xsi:type="dcterms:W3CDTF">2026-03-08T05:39:27Z</dcterms:created>
  <dcterms:modified xsi:type="dcterms:W3CDTF">2026-03-10T03:29:25Z</dcterms:modified>
</cp:coreProperties>
</file>